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showInkAnnotation="0" autoCompressPictures="0"/>
  <bookViews>
    <workbookView xWindow="0" yWindow="0" windowWidth="25600" windowHeight="14560" tabRatio="500"/>
  </bookViews>
  <sheets>
    <sheet name="UNdata_Export_20200317_23134585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7" i="1" l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O17" i="1"/>
  <c r="P17" i="1"/>
  <c r="P13" i="1"/>
  <c r="P14" i="1"/>
  <c r="P5" i="1"/>
  <c r="P3" i="1"/>
  <c r="P4" i="1"/>
  <c r="P6" i="1"/>
  <c r="P7" i="1"/>
  <c r="P8" i="1"/>
  <c r="P9" i="1"/>
  <c r="P10" i="1"/>
  <c r="P11" i="1"/>
  <c r="P12" i="1"/>
  <c r="P15" i="1"/>
  <c r="P16" i="1"/>
  <c r="P2" i="1"/>
  <c r="H17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J3" i="1"/>
  <c r="J13" i="1"/>
  <c r="J14" i="1"/>
  <c r="J5" i="1"/>
  <c r="J4" i="1"/>
  <c r="J6" i="1"/>
  <c r="J7" i="1"/>
  <c r="J8" i="1"/>
  <c r="J9" i="1"/>
  <c r="J10" i="1"/>
  <c r="J11" i="1"/>
  <c r="J12" i="1"/>
  <c r="J15" i="1"/>
  <c r="J16" i="1"/>
  <c r="I17" i="1"/>
  <c r="J17" i="1"/>
  <c r="J2" i="1"/>
  <c r="D14" i="1"/>
  <c r="D7" i="1"/>
</calcChain>
</file>

<file path=xl/sharedStrings.xml><?xml version="1.0" encoding="utf-8"?>
<sst xmlns="http://schemas.openxmlformats.org/spreadsheetml/2006/main" count="63" uniqueCount="28">
  <si>
    <t xml:space="preserve">pays </t>
  </si>
  <si>
    <t>exportations-</t>
  </si>
  <si>
    <t>importations</t>
  </si>
  <si>
    <t>solde</t>
  </si>
  <si>
    <t>poids export</t>
  </si>
  <si>
    <t>benin</t>
  </si>
  <si>
    <t>burkina faso</t>
  </si>
  <si>
    <t>cap verde</t>
  </si>
  <si>
    <t>cote d'ivoire</t>
  </si>
  <si>
    <t>gambia</t>
  </si>
  <si>
    <t>ghana</t>
  </si>
  <si>
    <t>guinea</t>
  </si>
  <si>
    <t>guinea bissau</t>
  </si>
  <si>
    <t>liberia</t>
  </si>
  <si>
    <t xml:space="preserve">mali </t>
  </si>
  <si>
    <t>niger</t>
  </si>
  <si>
    <t>nigeria</t>
  </si>
  <si>
    <t>senegal</t>
  </si>
  <si>
    <t>sierra leone</t>
  </si>
  <si>
    <t>togo</t>
  </si>
  <si>
    <t>totaux</t>
  </si>
  <si>
    <t>pays</t>
  </si>
  <si>
    <t>exportation</t>
  </si>
  <si>
    <t>burkina</t>
  </si>
  <si>
    <t xml:space="preserve"> burkina faso</t>
  </si>
  <si>
    <t>gambie</t>
  </si>
  <si>
    <t>mali</t>
  </si>
  <si>
    <t>exportations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</si>
</sst>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 tint="0.1499984740745262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1" fillId="0" borderId="0" xfId="0" applyFont="1"/>
    <xf numFmtId="0" fontId="2" fillId="3" borderId="0" xfId="0" applyFont="1" applyFill="1"/>
    <xf numFmtId="0" fontId="0" fillId="2" borderId="0" xfId="0" applyFill="1"/>
    <xf numFmtId="0" fontId="0" fillId="4" borderId="0" xfId="0" applyFill="1"/>
  </cellXfs>
  <cellStyles count="15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E17" totalsRowShown="0">
  <autoFilter ref="A1:E17"/>
  <tableColumns count="5">
    <tableColumn id="1" name="pays "/>
    <tableColumn id="2" name="exportations-"/>
    <tableColumn id="3" name="importations"/>
    <tableColumn id="4" name="solde"/>
    <tableColumn id="5" name="poids export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G1:K17" totalsRowShown="0">
  <autoFilter ref="G1:K17"/>
  <tableColumns count="5">
    <tableColumn id="1" name="pays"/>
    <tableColumn id="2" name="exportation"/>
    <tableColumn id="3" name="importations"/>
    <tableColumn id="4" name="solde">
      <calculatedColumnFormula>H2-I2</calculatedColumnFormula>
    </tableColumn>
    <tableColumn id="5" name="poids export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M1:Q17" totalsRowShown="0">
  <autoFilter ref="M1:Q17"/>
  <tableColumns count="5">
    <tableColumn id="1" name="pays"/>
    <tableColumn id="2" name="exportations"/>
    <tableColumn id="3" name="importations"/>
    <tableColumn id="4" name="solde">
      <calculatedColumnFormula>N2-O2</calculatedColumnFormula>
    </tableColumn>
    <tableColumn id="5" name="poids export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9"/>
  <sheetViews>
    <sheetView tabSelected="1" showRuler="0" workbookViewId="0">
      <selection activeCell="A19" sqref="A19"/>
    </sheetView>
  </sheetViews>
  <sheetFormatPr baseColWidth="10" defaultRowHeight="15" x14ac:dyDescent="0"/>
  <cols>
    <col min="2" max="2" width="14.6640625" customWidth="1"/>
    <col min="3" max="3" width="14.33203125" customWidth="1"/>
    <col min="4" max="4" width="12.1640625" bestFit="1" customWidth="1"/>
    <col min="5" max="5" width="13.6640625" customWidth="1"/>
    <col min="6" max="6" width="10.83203125" hidden="1" customWidth="1"/>
    <col min="8" max="8" width="13.33203125" customWidth="1"/>
    <col min="9" max="9" width="14.33203125" customWidth="1"/>
    <col min="10" max="10" width="12.83203125" bestFit="1" customWidth="1"/>
    <col min="11" max="11" width="14" customWidth="1"/>
    <col min="12" max="12" width="0.33203125" customWidth="1"/>
    <col min="14" max="14" width="14" customWidth="1"/>
    <col min="15" max="15" width="14.33203125" customWidth="1"/>
    <col min="16" max="16" width="12.83203125" bestFit="1" customWidth="1"/>
    <col min="17" max="17" width="14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4</v>
      </c>
      <c r="G1" s="2" t="s">
        <v>21</v>
      </c>
      <c r="H1" t="s">
        <v>22</v>
      </c>
      <c r="I1" t="s">
        <v>2</v>
      </c>
      <c r="J1" t="s">
        <v>3</v>
      </c>
      <c r="K1" t="s">
        <v>4</v>
      </c>
      <c r="M1" t="s">
        <v>21</v>
      </c>
      <c r="N1" t="s">
        <v>27</v>
      </c>
      <c r="O1" t="s">
        <v>2</v>
      </c>
      <c r="P1" t="s">
        <v>3</v>
      </c>
      <c r="Q1" t="s">
        <v>4</v>
      </c>
    </row>
    <row r="2" spans="1:17">
      <c r="A2" t="s">
        <v>5</v>
      </c>
      <c r="B2">
        <v>1050000000</v>
      </c>
      <c r="C2">
        <v>1990000000</v>
      </c>
      <c r="D2">
        <v>-940000000</v>
      </c>
      <c r="E2">
        <v>0.99676891899999998</v>
      </c>
      <c r="G2" t="s">
        <v>5</v>
      </c>
      <c r="H2">
        <v>590000000</v>
      </c>
      <c r="I2">
        <v>1110000000</v>
      </c>
      <c r="J2">
        <f>H2-I2</f>
        <v>-520000000</v>
      </c>
      <c r="K2">
        <f>H2/H17*100</f>
        <v>0.6940590897016955</v>
      </c>
      <c r="M2" t="s">
        <v>5</v>
      </c>
      <c r="N2">
        <v>567997000</v>
      </c>
      <c r="O2">
        <v>960000000</v>
      </c>
      <c r="P2">
        <f>N2-O2</f>
        <v>-392003000</v>
      </c>
      <c r="Q2">
        <f>N2/N17*100</f>
        <v>0.74647112552494888</v>
      </c>
    </row>
    <row r="3" spans="1:17">
      <c r="A3" t="s">
        <v>6</v>
      </c>
      <c r="B3">
        <v>620000000</v>
      </c>
      <c r="C3">
        <v>1800000000</v>
      </c>
      <c r="D3">
        <v>-1180000000</v>
      </c>
      <c r="E3">
        <v>0.58856831399999998</v>
      </c>
      <c r="G3" t="s">
        <v>24</v>
      </c>
      <c r="H3">
        <v>660000000</v>
      </c>
      <c r="I3">
        <v>17000000000</v>
      </c>
      <c r="J3">
        <f>H3-I3</f>
        <v>-16340000000</v>
      </c>
      <c r="K3">
        <f>H3/H17*100</f>
        <v>0.77640508339511694</v>
      </c>
      <c r="M3" t="s">
        <v>23</v>
      </c>
      <c r="N3">
        <v>588000000</v>
      </c>
      <c r="O3">
        <v>1500000000</v>
      </c>
      <c r="P3">
        <f t="shared" ref="P3:P16" si="0">N3-O3</f>
        <v>-912000000</v>
      </c>
      <c r="Q3">
        <f>N3/N17*100</f>
        <v>0.772759401561399</v>
      </c>
    </row>
    <row r="4" spans="1:17">
      <c r="A4" t="s">
        <v>7</v>
      </c>
      <c r="B4">
        <v>35441700</v>
      </c>
      <c r="C4">
        <v>826145000</v>
      </c>
      <c r="D4">
        <v>-790703300</v>
      </c>
      <c r="E4">
        <v>3.3644937999999999E-2</v>
      </c>
      <c r="G4" t="s">
        <v>7</v>
      </c>
      <c r="H4">
        <v>19218400</v>
      </c>
      <c r="I4">
        <v>749878000</v>
      </c>
      <c r="J4">
        <f t="shared" ref="J4:J17" si="1">H4-I4</f>
        <v>-730659600</v>
      </c>
      <c r="K4">
        <f>H4/H17*100</f>
        <v>2.2607974931395023E-2</v>
      </c>
      <c r="M4" t="s">
        <v>7</v>
      </c>
      <c r="N4">
        <v>20608900</v>
      </c>
      <c r="O4">
        <v>542999000</v>
      </c>
      <c r="P4">
        <f t="shared" si="0"/>
        <v>-522390100</v>
      </c>
      <c r="Q4">
        <f>N4/N17*100</f>
        <v>2.7084559916392373E-2</v>
      </c>
    </row>
    <row r="5" spans="1:17">
      <c r="A5" t="s">
        <v>8</v>
      </c>
      <c r="B5">
        <v>9825700000</v>
      </c>
      <c r="C5">
        <v>787708000</v>
      </c>
      <c r="D5">
        <v>9037992000</v>
      </c>
      <c r="E5">
        <v>9.3275736869999992</v>
      </c>
      <c r="G5" t="s">
        <v>8</v>
      </c>
      <c r="H5">
        <v>8046040000</v>
      </c>
      <c r="I5">
        <v>6672900000</v>
      </c>
      <c r="J5">
        <f>H5-I5</f>
        <v>1373140000</v>
      </c>
      <c r="K5">
        <f>H5/H17*100</f>
        <v>9.4651308442431006</v>
      </c>
      <c r="M5" t="s">
        <v>8</v>
      </c>
      <c r="N5">
        <v>8140140000</v>
      </c>
      <c r="O5">
        <v>5816520000</v>
      </c>
      <c r="P5">
        <f>N5-O5</f>
        <v>2323620000</v>
      </c>
      <c r="Q5">
        <f>N5/N17*100</f>
        <v>10.697907678615657</v>
      </c>
    </row>
    <row r="6" spans="1:17">
      <c r="A6" t="s">
        <v>9</v>
      </c>
      <c r="B6">
        <v>13921500</v>
      </c>
      <c r="C6">
        <v>329402000</v>
      </c>
      <c r="D6">
        <v>-315480500</v>
      </c>
      <c r="E6">
        <v>1.3215732000000001E-2</v>
      </c>
      <c r="G6" t="s">
        <v>25</v>
      </c>
      <c r="H6">
        <v>13000000</v>
      </c>
      <c r="I6">
        <v>305000000</v>
      </c>
      <c r="J6">
        <f t="shared" si="1"/>
        <v>-292000000</v>
      </c>
      <c r="K6">
        <f>H6/H17*100</f>
        <v>1.5292827400206849E-2</v>
      </c>
      <c r="M6" t="s">
        <v>25</v>
      </c>
      <c r="N6">
        <v>11464000</v>
      </c>
      <c r="O6">
        <v>259288000</v>
      </c>
      <c r="P6">
        <f t="shared" si="0"/>
        <v>-247824000</v>
      </c>
      <c r="Q6">
        <f>N6/N17*100</f>
        <v>1.5066179897108635E-2</v>
      </c>
    </row>
    <row r="7" spans="1:17">
      <c r="A7" t="s">
        <v>10</v>
      </c>
      <c r="B7">
        <v>5650000000</v>
      </c>
      <c r="C7">
        <v>10400000000</v>
      </c>
      <c r="D7">
        <f>B7-C7</f>
        <v>-4750000000</v>
      </c>
      <c r="E7">
        <v>5.36356609</v>
      </c>
      <c r="G7" t="s">
        <v>10</v>
      </c>
      <c r="H7">
        <v>4321150000</v>
      </c>
      <c r="I7">
        <v>7982120000</v>
      </c>
      <c r="J7">
        <f t="shared" si="1"/>
        <v>-3660970000</v>
      </c>
      <c r="K7">
        <f>H7/H17*100</f>
        <v>5.0832770092618329</v>
      </c>
      <c r="M7" t="s">
        <v>10</v>
      </c>
      <c r="N7">
        <v>3737130000</v>
      </c>
      <c r="O7">
        <v>65001110000</v>
      </c>
      <c r="P7">
        <f t="shared" si="0"/>
        <v>-61263980000</v>
      </c>
      <c r="Q7">
        <f>N7/N17*100</f>
        <v>4.9113985414237264</v>
      </c>
    </row>
    <row r="8" spans="1:17">
      <c r="A8" t="s">
        <v>11</v>
      </c>
      <c r="B8">
        <v>1300000000</v>
      </c>
      <c r="C8">
        <v>1600000000</v>
      </c>
      <c r="D8">
        <v>-300000000</v>
      </c>
      <c r="E8">
        <v>1.234094853</v>
      </c>
      <c r="G8" t="s">
        <v>11</v>
      </c>
      <c r="H8">
        <v>1100000000</v>
      </c>
      <c r="I8">
        <v>1190000000</v>
      </c>
      <c r="J8">
        <f t="shared" si="1"/>
        <v>-90000000</v>
      </c>
      <c r="K8">
        <f>H8/H17*100</f>
        <v>1.2940084723251948</v>
      </c>
      <c r="M8" t="s">
        <v>11</v>
      </c>
      <c r="N8">
        <v>900000000</v>
      </c>
      <c r="O8">
        <v>900000000</v>
      </c>
      <c r="P8">
        <f t="shared" si="0"/>
        <v>0</v>
      </c>
      <c r="Q8">
        <f>N8/N17*100</f>
        <v>1.1827950023898965</v>
      </c>
    </row>
    <row r="9" spans="1:17">
      <c r="A9" t="s">
        <v>12</v>
      </c>
      <c r="B9">
        <v>98000000</v>
      </c>
      <c r="C9">
        <v>160000000</v>
      </c>
      <c r="D9">
        <v>-62000000</v>
      </c>
      <c r="E9">
        <v>9.3031766000000002E-2</v>
      </c>
      <c r="G9" t="s">
        <v>12</v>
      </c>
      <c r="H9">
        <v>70000000</v>
      </c>
      <c r="I9">
        <v>110000000</v>
      </c>
      <c r="J9">
        <f t="shared" si="1"/>
        <v>-40000000</v>
      </c>
      <c r="K9">
        <f>H9/H17*100</f>
        <v>8.2345993693421493E-2</v>
      </c>
      <c r="M9" t="s">
        <v>12</v>
      </c>
      <c r="N9">
        <v>75000000</v>
      </c>
      <c r="O9">
        <v>110000000</v>
      </c>
      <c r="P9">
        <f t="shared" si="0"/>
        <v>-35000000</v>
      </c>
      <c r="Q9">
        <f>N9/N17*100</f>
        <v>9.8566250199158045E-2</v>
      </c>
    </row>
    <row r="10" spans="1:17">
      <c r="A10" t="s">
        <v>13</v>
      </c>
      <c r="B10">
        <v>262000000</v>
      </c>
      <c r="C10">
        <v>865000000</v>
      </c>
      <c r="D10">
        <v>-603000000</v>
      </c>
      <c r="E10">
        <v>0.24871757799999999</v>
      </c>
      <c r="G10" t="s">
        <v>13</v>
      </c>
      <c r="H10">
        <v>200200000</v>
      </c>
      <c r="I10">
        <v>501500000</v>
      </c>
      <c r="J10">
        <f t="shared" si="1"/>
        <v>-301300000</v>
      </c>
      <c r="K10">
        <f>H10/H17*100</f>
        <v>0.23550954196318546</v>
      </c>
      <c r="M10" t="s">
        <v>13</v>
      </c>
      <c r="N10">
        <v>157800000</v>
      </c>
      <c r="O10">
        <v>466700000</v>
      </c>
      <c r="P10">
        <f t="shared" si="0"/>
        <v>-308900000</v>
      </c>
      <c r="Q10">
        <f>N10/N17*100</f>
        <v>0.20738339041902848</v>
      </c>
    </row>
    <row r="11" spans="1:17">
      <c r="A11" t="s">
        <v>14</v>
      </c>
      <c r="B11">
        <v>1650000000</v>
      </c>
      <c r="C11">
        <v>2550000000</v>
      </c>
      <c r="D11">
        <v>-830000000</v>
      </c>
      <c r="E11">
        <v>1.5663511590000001</v>
      </c>
      <c r="G11" t="s">
        <v>26</v>
      </c>
      <c r="H11">
        <v>1620000000</v>
      </c>
      <c r="I11">
        <v>2000000000</v>
      </c>
      <c r="J11">
        <f t="shared" si="1"/>
        <v>-380000000</v>
      </c>
      <c r="K11">
        <f>H11/H17*100</f>
        <v>1.905721568333469</v>
      </c>
      <c r="M11" t="s">
        <v>26</v>
      </c>
      <c r="N11">
        <v>1544230000</v>
      </c>
      <c r="O11">
        <v>1844000000</v>
      </c>
      <c r="P11">
        <f t="shared" si="0"/>
        <v>-299770000</v>
      </c>
      <c r="Q11">
        <f>N11/N17*100</f>
        <v>2.0294528072672775</v>
      </c>
    </row>
    <row r="12" spans="1:17">
      <c r="A12" t="s">
        <v>15</v>
      </c>
      <c r="B12">
        <v>820000000</v>
      </c>
      <c r="C12">
        <v>1450000000</v>
      </c>
      <c r="D12">
        <v>-630000000</v>
      </c>
      <c r="E12">
        <v>0.77842906099999998</v>
      </c>
      <c r="G12" t="s">
        <v>15</v>
      </c>
      <c r="H12">
        <v>650000000</v>
      </c>
      <c r="I12">
        <v>970000000</v>
      </c>
      <c r="J12">
        <f t="shared" si="1"/>
        <v>-320000000</v>
      </c>
      <c r="K12">
        <f>H12/H17*100</f>
        <v>0.76464137001034249</v>
      </c>
      <c r="M12" t="s">
        <v>15</v>
      </c>
      <c r="N12">
        <v>520760000</v>
      </c>
      <c r="O12">
        <v>950000000</v>
      </c>
      <c r="P12">
        <f t="shared" si="0"/>
        <v>-429240000</v>
      </c>
      <c r="Q12">
        <f>N12/N17*100</f>
        <v>0.6843914727161805</v>
      </c>
    </row>
    <row r="13" spans="1:17">
      <c r="A13" t="s">
        <v>16</v>
      </c>
      <c r="B13">
        <v>80615300000</v>
      </c>
      <c r="C13">
        <v>42378100000</v>
      </c>
      <c r="D13">
        <v>38237200000</v>
      </c>
      <c r="E13">
        <v>76.528405210000003</v>
      </c>
      <c r="G13" t="s">
        <v>16</v>
      </c>
      <c r="H13">
        <v>65133100000</v>
      </c>
      <c r="I13">
        <v>37576000000</v>
      </c>
      <c r="J13">
        <f>H13-I13</f>
        <v>27557100000</v>
      </c>
      <c r="K13">
        <f>H13/H17*100</f>
        <v>76.620712026185586</v>
      </c>
      <c r="M13" t="s">
        <v>16</v>
      </c>
      <c r="N13">
        <v>57443900000</v>
      </c>
      <c r="O13">
        <v>26768100000</v>
      </c>
      <c r="P13">
        <f>N13-O13</f>
        <v>30675800000</v>
      </c>
      <c r="Q13">
        <f>N13/N17*100</f>
        <v>75.493730930872189</v>
      </c>
    </row>
    <row r="14" spans="1:17">
      <c r="A14" t="s">
        <v>17</v>
      </c>
      <c r="B14">
        <v>2390000000</v>
      </c>
      <c r="C14">
        <v>5701730000</v>
      </c>
      <c r="D14">
        <f>B14-C14</f>
        <v>-3311730000</v>
      </c>
      <c r="E14">
        <v>2.268835921</v>
      </c>
      <c r="G14" t="s">
        <v>17</v>
      </c>
      <c r="H14">
        <v>1650000000</v>
      </c>
      <c r="I14">
        <v>4250000000</v>
      </c>
      <c r="J14">
        <f>H14-I14</f>
        <v>-2600000000</v>
      </c>
      <c r="K14">
        <f>H14/H17*100</f>
        <v>1.9410127084877924</v>
      </c>
      <c r="M14" t="s">
        <v>17</v>
      </c>
      <c r="N14">
        <v>1555970000</v>
      </c>
      <c r="O14">
        <v>3434000000</v>
      </c>
      <c r="P14">
        <f>N14-O14</f>
        <v>-1878030000</v>
      </c>
      <c r="Q14">
        <f>N14/N17*100</f>
        <v>2.0448817109651194</v>
      </c>
    </row>
    <row r="15" spans="1:17">
      <c r="A15" t="s">
        <v>18</v>
      </c>
      <c r="B15">
        <v>220000000</v>
      </c>
      <c r="C15">
        <v>560000000</v>
      </c>
      <c r="D15">
        <v>-340000000</v>
      </c>
      <c r="E15">
        <v>0.20884682099999999</v>
      </c>
      <c r="G15" t="s">
        <v>18</v>
      </c>
      <c r="H15">
        <v>244463000</v>
      </c>
      <c r="I15">
        <v>444668000</v>
      </c>
      <c r="J15">
        <f t="shared" si="1"/>
        <v>-200205000</v>
      </c>
      <c r="K15">
        <f>H15/H17*100</f>
        <v>0.28757926651821286</v>
      </c>
      <c r="M15" t="s">
        <v>18</v>
      </c>
      <c r="N15">
        <v>215954000</v>
      </c>
      <c r="O15">
        <v>389368000</v>
      </c>
      <c r="P15">
        <f t="shared" si="0"/>
        <v>-173414000</v>
      </c>
      <c r="Q15">
        <f>N15/N17*100</f>
        <v>0.28381034660678633</v>
      </c>
    </row>
    <row r="16" spans="1:17">
      <c r="A16" t="s">
        <v>19</v>
      </c>
      <c r="B16">
        <v>790000000</v>
      </c>
      <c r="C16">
        <v>1540000000</v>
      </c>
      <c r="D16">
        <v>-750000000</v>
      </c>
      <c r="E16">
        <v>0.749949949</v>
      </c>
      <c r="G16" t="s">
        <v>19</v>
      </c>
      <c r="H16">
        <v>690000000</v>
      </c>
      <c r="I16">
        <v>1450000000</v>
      </c>
      <c r="J16">
        <f t="shared" si="1"/>
        <v>-760000000</v>
      </c>
      <c r="K16">
        <f>H16/H17*100</f>
        <v>0.81169622354944038</v>
      </c>
      <c r="M16" t="s">
        <v>19</v>
      </c>
      <c r="N16">
        <v>612000000</v>
      </c>
      <c r="O16">
        <v>1330000000</v>
      </c>
      <c r="P16">
        <f t="shared" si="0"/>
        <v>-718000000</v>
      </c>
      <c r="Q16">
        <f>N16/N17*100</f>
        <v>0.80430060162512951</v>
      </c>
    </row>
    <row r="17" spans="1:17">
      <c r="A17" t="s">
        <v>20</v>
      </c>
      <c r="B17" s="1">
        <v>105340000000</v>
      </c>
      <c r="C17">
        <v>72938085000</v>
      </c>
      <c r="D17">
        <v>32472278200</v>
      </c>
      <c r="E17">
        <v>100</v>
      </c>
      <c r="G17" t="s">
        <v>20</v>
      </c>
      <c r="H17">
        <f>SUM(H2:H16)</f>
        <v>85007171400</v>
      </c>
      <c r="I17">
        <f>SUM(I2:I16)</f>
        <v>82312066000</v>
      </c>
      <c r="J17">
        <f t="shared" si="1"/>
        <v>2695105400</v>
      </c>
      <c r="K17">
        <f>SUM(K2:K16)</f>
        <v>99.999999999999986</v>
      </c>
      <c r="M17" t="s">
        <v>20</v>
      </c>
      <c r="N17">
        <f>SUM(N2:N16)</f>
        <v>76090953900</v>
      </c>
      <c r="O17">
        <f>SUM(O2:O16)</f>
        <v>110272085000</v>
      </c>
      <c r="P17">
        <f>N17-O17</f>
        <v>-34181131100</v>
      </c>
      <c r="Q17">
        <f>SUM(Q2:Q16)</f>
        <v>99.999999999999986</v>
      </c>
    </row>
    <row r="19" spans="1:17">
      <c r="B19" s="3">
        <v>2008</v>
      </c>
      <c r="I19" s="4">
        <v>2007</v>
      </c>
      <c r="O19" s="5">
        <v>2006</v>
      </c>
    </row>
  </sheetData>
  <pageMargins left="0.75" right="0.75" top="1" bottom="1" header="0.5" footer="0.5"/>
  <tableParts count="3">
    <tablePart r:id="rId1"/>
    <tablePart r:id="rId2"/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UNdata_Export_20200317_23134585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</dc:creator>
  <cp:lastModifiedBy>mac</cp:lastModifiedBy>
  <dcterms:created xsi:type="dcterms:W3CDTF">2020-04-05T00:11:31Z</dcterms:created>
  <dcterms:modified xsi:type="dcterms:W3CDTF">2020-04-21T06:37:50Z</dcterms:modified>
</cp:coreProperties>
</file>